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álogo" sheetId="1" r:id="rId4"/>
    <sheet state="visible" name="BGI" sheetId="2" r:id="rId5"/>
    <sheet state="visible" name="BGCE" sheetId="3" r:id="rId6"/>
    <sheet state="visible" name="BGCC" sheetId="4" r:id="rId7"/>
    <sheet state="visible" name="BGCC2" sheetId="5" r:id="rId8"/>
    <sheet state="visible" name="BGAC" sheetId="6" r:id="rId9"/>
  </sheets>
  <definedNames/>
  <calcPr/>
  <extLst>
    <ext uri="GoogleSheetsCustomDataVersion2">
      <go:sheetsCustomData xmlns:go="http://customooxmlschemas.google.com/" r:id="rId10" roundtripDataChecksum="v08M3FaF+fRtS2xttfRPhArumYd0iChiuKFvkx/Ygvo="/>
    </ext>
  </extLst>
</workbook>
</file>

<file path=xl/sharedStrings.xml><?xml version="1.0" encoding="utf-8"?>
<sst xmlns="http://schemas.openxmlformats.org/spreadsheetml/2006/main" count="372" uniqueCount="85">
  <si>
    <t>Catálogo de Cuentas</t>
  </si>
  <si>
    <t>Código</t>
  </si>
  <si>
    <t>Cuenta</t>
  </si>
  <si>
    <t>Tipo</t>
  </si>
  <si>
    <t>AC-CA</t>
  </si>
  <si>
    <t>Caja</t>
  </si>
  <si>
    <t>Activo Circulante</t>
  </si>
  <si>
    <t>AC-BA</t>
  </si>
  <si>
    <t>Bancos</t>
  </si>
  <si>
    <t>AC-IN</t>
  </si>
  <si>
    <t>Inventarios</t>
  </si>
  <si>
    <t>AC-CL</t>
  </si>
  <si>
    <t>Clientes</t>
  </si>
  <si>
    <t>AC-IV</t>
  </si>
  <si>
    <t>IVA Acreditable</t>
  </si>
  <si>
    <t>AC-IP</t>
  </si>
  <si>
    <t>IVA por Acreditar</t>
  </si>
  <si>
    <t>ANC-ME</t>
  </si>
  <si>
    <t>Mobiliario y Equipo</t>
  </si>
  <si>
    <t>Activo No Circulante</t>
  </si>
  <si>
    <t>ANC-EC</t>
  </si>
  <si>
    <t>Equipo de Cómputo</t>
  </si>
  <si>
    <t>AD-GI</t>
  </si>
  <si>
    <t>Gastos de Instalación</t>
  </si>
  <si>
    <t>Otros Activos</t>
  </si>
  <si>
    <t>AD-PU</t>
  </si>
  <si>
    <t>Papelería y Útiles</t>
  </si>
  <si>
    <t>AD-RA</t>
  </si>
  <si>
    <t>Rentas Pagadas por Anticipado</t>
  </si>
  <si>
    <t>PC-PR</t>
  </si>
  <si>
    <t>Proveedores</t>
  </si>
  <si>
    <t>Pasivo a Corto Plazo</t>
  </si>
  <si>
    <t>PC-IT</t>
  </si>
  <si>
    <t>IVA Trasladado</t>
  </si>
  <si>
    <t>PC-IX</t>
  </si>
  <si>
    <t>IVA por Trasladar</t>
  </si>
  <si>
    <t>C-CS</t>
  </si>
  <si>
    <t>Capital Social</t>
  </si>
  <si>
    <t>Capital Contable</t>
  </si>
  <si>
    <t>C-UN</t>
  </si>
  <si>
    <t>Utilidad del Ejercicio</t>
  </si>
  <si>
    <t>Nexium, S.A.S.</t>
  </si>
  <si>
    <t>Estado de Situación Financiera (Balance General)</t>
  </si>
  <si>
    <t>Fecha: 23/01/2026</t>
  </si>
  <si>
    <t>ACTIVO</t>
  </si>
  <si>
    <t>PASIVO Y CAPITAL</t>
  </si>
  <si>
    <t>Desglose (H-J)</t>
  </si>
  <si>
    <t>Sin desglose</t>
  </si>
  <si>
    <t>TOTAL PASIVO</t>
  </si>
  <si>
    <t>Subtotal Activo Circulante</t>
  </si>
  <si>
    <t>TOTAL CAPITAL</t>
  </si>
  <si>
    <t>TOTAL PASIVO + CAPITAL</t>
  </si>
  <si>
    <t>Subtotal Activo No Circulante</t>
  </si>
  <si>
    <t>DIFERENCIA (Debe ser 0)</t>
  </si>
  <si>
    <t>ESTATUS</t>
  </si>
  <si>
    <t>Subtotal Otros Activos</t>
  </si>
  <si>
    <t>TOTAL ACTIVO</t>
  </si>
  <si>
    <t>Elaboró: Mario Efraín Moguel Hernández - Director</t>
  </si>
  <si>
    <t>Autorizó: GONZALEZ ZUÑIGA NURIA</t>
  </si>
  <si>
    <t>Fecha: 28/01/2026</t>
  </si>
  <si>
    <t>Factura 1 - Compra en Efectivo</t>
  </si>
  <si>
    <t>Mercancía (Subtotal)</t>
  </si>
  <si>
    <t/>
  </si>
  <si>
    <t>IVA (16%)</t>
  </si>
  <si>
    <t>Total factura</t>
  </si>
  <si>
    <t>Forma de pago</t>
  </si>
  <si>
    <t>Efectivo (Bancos)</t>
  </si>
  <si>
    <t>Fecha: 31/01/2026</t>
  </si>
  <si>
    <t>Factura 2 - Compra Mixta (20% enganche)</t>
  </si>
  <si>
    <t>Enganche (20%)</t>
  </si>
  <si>
    <t>Saldo a Proveedores</t>
  </si>
  <si>
    <t>Fecha: 04/02/2026</t>
  </si>
  <si>
    <t>Factura 3 - Compra 100% a Crédito</t>
  </si>
  <si>
    <t>Condición</t>
  </si>
  <si>
    <t>Crédito (Proveedores)</t>
  </si>
  <si>
    <t>Fecha: 06/02/2026</t>
  </si>
  <si>
    <t>Venta - Anticipo y saldo Clientes</t>
  </si>
  <si>
    <t>Venta (Subtotal)</t>
  </si>
  <si>
    <t>Total venta</t>
  </si>
  <si>
    <t>Cobro a Bancos (20%)</t>
  </si>
  <si>
    <t>Saldo en Clientes</t>
  </si>
  <si>
    <t>Costo de venta</t>
  </si>
  <si>
    <t>Utilidad</t>
  </si>
  <si>
    <t>IVA trasladado (cobrado)</t>
  </si>
  <si>
    <t>IVA por trasladar (pendiente)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</si>
</sst>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1.0"/>
      <color theme="1"/>
      <name val="Calibri"/>
      <scheme val="minor"/>
    </font>
    <font>
      <b/>
      <sz val="14.0"/>
      <color theme="1"/>
      <name val="Calibri"/>
    </font>
    <font>
      <b/>
      <color rgb="FFFFFFFF"/>
      <name val="Calibri"/>
    </font>
    <font>
      <sz val="11.0"/>
      <color theme="1"/>
      <name val="Calibri"/>
    </font>
    <font>
      <b/>
      <sz val="12.0"/>
      <color theme="1"/>
      <name val="Calibri"/>
    </font>
    <font/>
    <font>
      <b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EDEDED"/>
        <bgColor rgb="FFEDEDED"/>
      </patternFill>
    </fill>
  </fills>
  <borders count="5">
    <border/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</border>
    <border>
      <left style="thin">
        <color rgb="FF9E9E9E"/>
      </left>
      <top style="thin">
        <color rgb="FF9E9E9E"/>
      </top>
      <bottom style="thin">
        <color rgb="FF9E9E9E"/>
      </bottom>
    </border>
    <border>
      <top style="thin">
        <color rgb="FF9E9E9E"/>
      </top>
      <bottom style="thin">
        <color rgb="FF9E9E9E"/>
      </bottom>
    </border>
    <border>
      <right style="thin">
        <color rgb="FF9E9E9E"/>
      </right>
      <top style="thin">
        <color rgb="FF9E9E9E"/>
      </top>
      <bottom style="thin">
        <color rgb="FF9E9E9E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2" fillId="2" fontId="2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1" fillId="0" fontId="3" numFmtId="0" xfId="0" applyBorder="1" applyFont="1"/>
    <xf borderId="2" fillId="3" fontId="6" numFmtId="0" xfId="0" applyAlignment="1" applyBorder="1" applyFill="1" applyFont="1">
      <alignment horizontal="left" vertical="center"/>
    </xf>
    <xf borderId="1" fillId="0" fontId="3" numFmtId="164" xfId="0" applyAlignment="1" applyBorder="1" applyFont="1" applyNumberFormat="1">
      <alignment horizontal="right" vertical="center"/>
    </xf>
    <xf borderId="1" fillId="4" fontId="3" numFmtId="0" xfId="0" applyBorder="1" applyFill="1" applyFont="1"/>
    <xf borderId="1" fillId="4" fontId="6" numFmtId="0" xfId="0" applyBorder="1" applyFont="1"/>
    <xf borderId="1" fillId="4" fontId="6" numFmtId="164" xfId="0" applyAlignment="1" applyBorder="1" applyFont="1" applyNumberFormat="1">
      <alignment horizontal="right" vertical="center"/>
    </xf>
    <xf borderId="1" fillId="2" fontId="2" numFmtId="0" xfId="0" applyAlignment="1" applyBorder="1" applyFont="1">
      <alignment horizontal="left" vertical="center"/>
    </xf>
    <xf borderId="1" fillId="2" fontId="2" numFmtId="164" xfId="0" applyAlignment="1" applyBorder="1" applyFont="1" applyNumberFormat="1">
      <alignment horizontal="right" vertical="center"/>
    </xf>
    <xf borderId="1" fillId="0" fontId="6" numFmtId="0" xfId="0" applyBorder="1" applyFont="1"/>
    <xf borderId="1" fillId="0" fontId="6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vertical="center"/>
    </xf>
  </cellXfs>
  <cellStyles count="1">
    <cellStyle xfId="0" name="Normal" builtinId="0"/>
  </cellStyles>
  <dxfs count="1"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8.0"/>
    <col customWidth="1" min="3" max="3" width="22.0"/>
    <col customWidth="1" min="4" max="6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3" t="s">
        <v>4</v>
      </c>
      <c r="B3" s="3" t="s">
        <v>5</v>
      </c>
      <c r="C3" s="3" t="s">
        <v>6</v>
      </c>
    </row>
    <row r="4">
      <c r="A4" s="3" t="s">
        <v>7</v>
      </c>
      <c r="B4" s="3" t="s">
        <v>8</v>
      </c>
      <c r="C4" s="3" t="s">
        <v>6</v>
      </c>
    </row>
    <row r="5">
      <c r="A5" s="3" t="s">
        <v>9</v>
      </c>
      <c r="B5" s="3" t="s">
        <v>10</v>
      </c>
      <c r="C5" s="3" t="s">
        <v>6</v>
      </c>
    </row>
    <row r="6">
      <c r="A6" s="3" t="s">
        <v>11</v>
      </c>
      <c r="B6" s="3" t="s">
        <v>12</v>
      </c>
      <c r="C6" s="3" t="s">
        <v>6</v>
      </c>
    </row>
    <row r="7">
      <c r="A7" s="3" t="s">
        <v>13</v>
      </c>
      <c r="B7" s="3" t="s">
        <v>14</v>
      </c>
      <c r="C7" s="3" t="s">
        <v>6</v>
      </c>
    </row>
    <row r="8">
      <c r="A8" s="3" t="s">
        <v>15</v>
      </c>
      <c r="B8" s="3" t="s">
        <v>16</v>
      </c>
      <c r="C8" s="3" t="s">
        <v>6</v>
      </c>
    </row>
    <row r="9">
      <c r="A9" s="3" t="s">
        <v>17</v>
      </c>
      <c r="B9" s="3" t="s">
        <v>18</v>
      </c>
      <c r="C9" s="3" t="s">
        <v>19</v>
      </c>
    </row>
    <row r="10">
      <c r="A10" s="3" t="s">
        <v>20</v>
      </c>
      <c r="B10" s="3" t="s">
        <v>21</v>
      </c>
      <c r="C10" s="3" t="s">
        <v>19</v>
      </c>
    </row>
    <row r="11">
      <c r="A11" s="3" t="s">
        <v>22</v>
      </c>
      <c r="B11" s="3" t="s">
        <v>23</v>
      </c>
      <c r="C11" s="3" t="s">
        <v>24</v>
      </c>
    </row>
    <row r="12">
      <c r="A12" s="3" t="s">
        <v>25</v>
      </c>
      <c r="B12" s="3" t="s">
        <v>26</v>
      </c>
      <c r="C12" s="3" t="s">
        <v>24</v>
      </c>
    </row>
    <row r="13">
      <c r="A13" s="3" t="s">
        <v>27</v>
      </c>
      <c r="B13" s="3" t="s">
        <v>28</v>
      </c>
      <c r="C13" s="3" t="s">
        <v>24</v>
      </c>
    </row>
    <row r="14">
      <c r="A14" s="3" t="s">
        <v>29</v>
      </c>
      <c r="B14" s="3" t="s">
        <v>30</v>
      </c>
      <c r="C14" s="3" t="s">
        <v>31</v>
      </c>
    </row>
    <row r="15">
      <c r="A15" s="3" t="s">
        <v>32</v>
      </c>
      <c r="B15" s="3" t="s">
        <v>33</v>
      </c>
      <c r="C15" s="3" t="s">
        <v>31</v>
      </c>
    </row>
    <row r="16">
      <c r="A16" s="3" t="s">
        <v>34</v>
      </c>
      <c r="B16" s="3" t="s">
        <v>35</v>
      </c>
      <c r="C16" s="3" t="s">
        <v>31</v>
      </c>
    </row>
    <row r="17">
      <c r="A17" s="3" t="s">
        <v>36</v>
      </c>
      <c r="B17" s="3" t="s">
        <v>37</v>
      </c>
      <c r="C17" s="3" t="s">
        <v>38</v>
      </c>
    </row>
    <row r="18">
      <c r="A18" s="3" t="s">
        <v>39</v>
      </c>
      <c r="B18" s="3" t="s">
        <v>40</v>
      </c>
      <c r="C18" s="3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8.0"/>
    <col customWidth="1" min="3" max="3" width="16.0"/>
    <col customWidth="1" min="4" max="4" width="2.0"/>
    <col customWidth="1" min="5" max="5" width="12.0"/>
    <col customWidth="1" min="6" max="6" width="28.0"/>
    <col customWidth="1" min="7" max="7" width="16.0"/>
    <col customWidth="1" min="8" max="10" width="14.0"/>
  </cols>
  <sheetData>
    <row r="1">
      <c r="A1" s="1" t="s">
        <v>41</v>
      </c>
    </row>
    <row r="2">
      <c r="A2" s="4" t="s">
        <v>42</v>
      </c>
    </row>
    <row r="3">
      <c r="A3" s="5" t="s">
        <v>43</v>
      </c>
    </row>
    <row r="5">
      <c r="A5" s="6" t="s">
        <v>44</v>
      </c>
      <c r="B5" s="7"/>
      <c r="C5" s="8"/>
      <c r="D5" s="9"/>
      <c r="E5" s="6" t="s">
        <v>45</v>
      </c>
      <c r="F5" s="7"/>
      <c r="G5" s="8"/>
      <c r="H5" s="6" t="s">
        <v>46</v>
      </c>
      <c r="I5" s="7"/>
      <c r="J5" s="8"/>
    </row>
    <row r="6">
      <c r="A6" s="10" t="s">
        <v>6</v>
      </c>
      <c r="B6" s="7"/>
      <c r="C6" s="8"/>
      <c r="D6" s="9"/>
      <c r="E6" s="10" t="s">
        <v>31</v>
      </c>
      <c r="F6" s="7"/>
      <c r="G6" s="8"/>
    </row>
    <row r="7">
      <c r="A7" s="3" t="s">
        <v>4</v>
      </c>
      <c r="B7" s="3" t="s">
        <v>5</v>
      </c>
      <c r="C7" s="11">
        <v>5000.0</v>
      </c>
      <c r="E7" s="3" t="s">
        <v>29</v>
      </c>
      <c r="F7" s="3" t="s">
        <v>30</v>
      </c>
      <c r="G7" s="11">
        <v>0.0</v>
      </c>
      <c r="H7" s="5" t="s">
        <v>47</v>
      </c>
    </row>
    <row r="8">
      <c r="A8" s="3" t="s">
        <v>7</v>
      </c>
      <c r="B8" s="3" t="s">
        <v>8</v>
      </c>
      <c r="C8" s="11">
        <v>45000.0</v>
      </c>
      <c r="E8" s="3" t="s">
        <v>32</v>
      </c>
      <c r="F8" s="3" t="s">
        <v>33</v>
      </c>
      <c r="G8" s="11">
        <v>0.0</v>
      </c>
    </row>
    <row r="9">
      <c r="A9" s="3" t="s">
        <v>9</v>
      </c>
      <c r="B9" s="3" t="s">
        <v>10</v>
      </c>
      <c r="C9" s="11">
        <v>80000.0</v>
      </c>
      <c r="E9" s="3" t="s">
        <v>34</v>
      </c>
      <c r="F9" s="3" t="s">
        <v>35</v>
      </c>
      <c r="G9" s="11">
        <v>0.0</v>
      </c>
    </row>
    <row r="10">
      <c r="A10" s="3" t="s">
        <v>11</v>
      </c>
      <c r="B10" s="3" t="s">
        <v>12</v>
      </c>
      <c r="C10" s="11">
        <v>0.0</v>
      </c>
      <c r="E10" s="12"/>
      <c r="F10" s="13" t="s">
        <v>48</v>
      </c>
      <c r="G10" s="14">
        <f>SUM(G7:G9)</f>
        <v>0</v>
      </c>
    </row>
    <row r="11">
      <c r="A11" s="3" t="s">
        <v>13</v>
      </c>
      <c r="B11" s="3" t="s">
        <v>14</v>
      </c>
      <c r="C11" s="11">
        <v>0.0</v>
      </c>
    </row>
    <row r="12">
      <c r="A12" s="3" t="s">
        <v>15</v>
      </c>
      <c r="B12" s="3" t="s">
        <v>16</v>
      </c>
      <c r="C12" s="11">
        <v>0.0</v>
      </c>
      <c r="D12" s="9"/>
      <c r="E12" s="10" t="s">
        <v>38</v>
      </c>
      <c r="F12" s="7"/>
      <c r="G12" s="8"/>
    </row>
    <row r="13">
      <c r="A13" s="12"/>
      <c r="B13" s="13" t="s">
        <v>49</v>
      </c>
      <c r="C13" s="14">
        <f>SUM(C7:C12)</f>
        <v>130000</v>
      </c>
      <c r="E13" s="3" t="s">
        <v>36</v>
      </c>
      <c r="F13" s="3" t="s">
        <v>37</v>
      </c>
      <c r="G13" s="11">
        <v>182000.0</v>
      </c>
    </row>
    <row r="14">
      <c r="E14" s="3" t="s">
        <v>39</v>
      </c>
      <c r="F14" s="3" t="s">
        <v>40</v>
      </c>
      <c r="G14" s="11">
        <v>0.0</v>
      </c>
    </row>
    <row r="15">
      <c r="A15" s="10" t="s">
        <v>19</v>
      </c>
      <c r="B15" s="7"/>
      <c r="C15" s="8"/>
      <c r="D15" s="9"/>
      <c r="E15" s="12"/>
      <c r="F15" s="13" t="s">
        <v>50</v>
      </c>
      <c r="G15" s="14">
        <f>SUM(G13:G14)</f>
        <v>182000</v>
      </c>
    </row>
    <row r="16">
      <c r="A16" s="3" t="s">
        <v>17</v>
      </c>
      <c r="B16" s="3" t="s">
        <v>18</v>
      </c>
      <c r="C16" s="11">
        <v>10000.0</v>
      </c>
    </row>
    <row r="17">
      <c r="A17" s="3" t="s">
        <v>20</v>
      </c>
      <c r="B17" s="3" t="s">
        <v>21</v>
      </c>
      <c r="C17" s="11">
        <v>25000.0</v>
      </c>
      <c r="E17" s="9"/>
      <c r="F17" s="15" t="s">
        <v>51</v>
      </c>
      <c r="G17" s="16">
        <f>G10+G15</f>
        <v>182000</v>
      </c>
    </row>
    <row r="18">
      <c r="A18" s="12"/>
      <c r="B18" s="13" t="s">
        <v>52</v>
      </c>
      <c r="C18" s="14">
        <f>SUM(C16:C17)</f>
        <v>35000</v>
      </c>
    </row>
    <row r="19">
      <c r="E19" s="12"/>
      <c r="F19" s="13" t="s">
        <v>53</v>
      </c>
      <c r="G19" s="14">
        <f>C26-G17</f>
        <v>0</v>
      </c>
    </row>
    <row r="20">
      <c r="A20" s="10" t="s">
        <v>24</v>
      </c>
      <c r="B20" s="7"/>
      <c r="C20" s="8"/>
      <c r="D20" s="9"/>
      <c r="E20" s="9"/>
      <c r="F20" s="17" t="s">
        <v>54</v>
      </c>
      <c r="G20" s="18" t="str">
        <f>IF(G19=0,"OK","REVISAR")</f>
        <v>OK</v>
      </c>
    </row>
    <row r="21" ht="15.75" customHeight="1">
      <c r="A21" s="3" t="s">
        <v>22</v>
      </c>
      <c r="B21" s="3" t="s">
        <v>23</v>
      </c>
      <c r="C21" s="11">
        <v>5000.0</v>
      </c>
    </row>
    <row r="22" ht="15.75" customHeight="1">
      <c r="A22" s="3" t="s">
        <v>25</v>
      </c>
      <c r="B22" s="3" t="s">
        <v>26</v>
      </c>
      <c r="C22" s="11">
        <v>2000.0</v>
      </c>
    </row>
    <row r="23" ht="15.75" customHeight="1">
      <c r="A23" s="3" t="s">
        <v>27</v>
      </c>
      <c r="B23" s="3" t="s">
        <v>28</v>
      </c>
      <c r="C23" s="11">
        <v>10000.0</v>
      </c>
    </row>
    <row r="24" ht="15.75" customHeight="1">
      <c r="A24" s="12"/>
      <c r="B24" s="13" t="s">
        <v>55</v>
      </c>
      <c r="C24" s="14">
        <f>SUM(C21:C23)</f>
        <v>17000</v>
      </c>
    </row>
    <row r="25" ht="15.75" customHeight="1"/>
    <row r="26" ht="15.75" customHeight="1">
      <c r="A26" s="9"/>
      <c r="B26" s="15" t="s">
        <v>56</v>
      </c>
      <c r="C26" s="16">
        <f>SUM(C13,C18,C24)</f>
        <v>182000</v>
      </c>
    </row>
    <row r="27" ht="15.75" customHeight="1"/>
    <row r="28" ht="15.75" customHeight="1">
      <c r="A28" s="19" t="s">
        <v>57</v>
      </c>
      <c r="B28" s="7"/>
      <c r="C28" s="8"/>
      <c r="D28" s="9"/>
      <c r="E28" s="19" t="s">
        <v>58</v>
      </c>
      <c r="F28" s="7"/>
      <c r="G28" s="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E6:G6"/>
    <mergeCell ref="E12:G12"/>
    <mergeCell ref="A15:C15"/>
    <mergeCell ref="A20:C20"/>
    <mergeCell ref="A28:C28"/>
    <mergeCell ref="E28:G28"/>
    <mergeCell ref="A1:G1"/>
    <mergeCell ref="A2:G2"/>
    <mergeCell ref="A3:G3"/>
    <mergeCell ref="A5:C5"/>
    <mergeCell ref="E5:G5"/>
    <mergeCell ref="H5:J5"/>
    <mergeCell ref="A6:C6"/>
  </mergeCells>
  <conditionalFormatting sqref="G19">
    <cfRule type="cellIs" dxfId="0" priority="1" operator="not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8.0"/>
    <col customWidth="1" min="3" max="3" width="16.0"/>
    <col customWidth="1" min="4" max="4" width="2.0"/>
    <col customWidth="1" min="5" max="5" width="12.0"/>
    <col customWidth="1" min="6" max="6" width="28.0"/>
    <col customWidth="1" min="7" max="7" width="16.0"/>
    <col customWidth="1" min="8" max="10" width="14.0"/>
  </cols>
  <sheetData>
    <row r="1">
      <c r="A1" s="1" t="s">
        <v>41</v>
      </c>
    </row>
    <row r="2">
      <c r="A2" s="4" t="s">
        <v>42</v>
      </c>
    </row>
    <row r="3">
      <c r="A3" s="5" t="s">
        <v>59</v>
      </c>
    </row>
    <row r="5">
      <c r="A5" s="6" t="s">
        <v>44</v>
      </c>
      <c r="B5" s="7"/>
      <c r="C5" s="8"/>
      <c r="D5" s="9"/>
      <c r="E5" s="6" t="s">
        <v>45</v>
      </c>
      <c r="F5" s="7"/>
      <c r="G5" s="8"/>
      <c r="H5" s="6" t="s">
        <v>46</v>
      </c>
      <c r="I5" s="7"/>
      <c r="J5" s="8"/>
    </row>
    <row r="6">
      <c r="A6" s="10" t="s">
        <v>6</v>
      </c>
      <c r="B6" s="7"/>
      <c r="C6" s="8"/>
      <c r="D6" s="9"/>
      <c r="E6" s="10" t="s">
        <v>31</v>
      </c>
      <c r="F6" s="7"/>
      <c r="G6" s="8"/>
      <c r="H6" s="10" t="s">
        <v>60</v>
      </c>
      <c r="I6" s="7"/>
      <c r="J6" s="8"/>
    </row>
    <row r="7">
      <c r="A7" s="3" t="s">
        <v>4</v>
      </c>
      <c r="B7" s="3" t="s">
        <v>5</v>
      </c>
      <c r="C7" s="11">
        <v>5000.0</v>
      </c>
      <c r="E7" s="3" t="s">
        <v>29</v>
      </c>
      <c r="F7" s="3" t="s">
        <v>30</v>
      </c>
      <c r="G7" s="11">
        <v>0.0</v>
      </c>
      <c r="H7" s="3" t="s">
        <v>61</v>
      </c>
      <c r="I7" s="11">
        <v>20000.0</v>
      </c>
      <c r="J7" s="3" t="s">
        <v>62</v>
      </c>
    </row>
    <row r="8">
      <c r="A8" s="3" t="s">
        <v>7</v>
      </c>
      <c r="B8" s="3" t="s">
        <v>8</v>
      </c>
      <c r="C8" s="11">
        <v>22000.0</v>
      </c>
      <c r="E8" s="3" t="s">
        <v>32</v>
      </c>
      <c r="F8" s="3" t="s">
        <v>33</v>
      </c>
      <c r="G8" s="11">
        <v>0.0</v>
      </c>
      <c r="H8" s="3" t="s">
        <v>63</v>
      </c>
      <c r="I8" s="11">
        <v>3000.0</v>
      </c>
      <c r="J8" s="3" t="s">
        <v>62</v>
      </c>
    </row>
    <row r="9">
      <c r="A9" s="3" t="s">
        <v>9</v>
      </c>
      <c r="B9" s="3" t="s">
        <v>10</v>
      </c>
      <c r="C9" s="11">
        <v>100000.0</v>
      </c>
      <c r="E9" s="3" t="s">
        <v>34</v>
      </c>
      <c r="F9" s="3" t="s">
        <v>35</v>
      </c>
      <c r="G9" s="11">
        <v>0.0</v>
      </c>
      <c r="H9" s="3" t="s">
        <v>64</v>
      </c>
      <c r="I9" s="11">
        <v>23000.0</v>
      </c>
      <c r="J9" s="3" t="s">
        <v>62</v>
      </c>
    </row>
    <row r="10">
      <c r="A10" s="3" t="s">
        <v>11</v>
      </c>
      <c r="B10" s="3" t="s">
        <v>12</v>
      </c>
      <c r="C10" s="11">
        <v>0.0</v>
      </c>
      <c r="E10" s="12"/>
      <c r="F10" s="13" t="s">
        <v>48</v>
      </c>
      <c r="G10" s="14">
        <f>SUM(G7:G9)</f>
        <v>0</v>
      </c>
      <c r="H10" s="3" t="s">
        <v>65</v>
      </c>
      <c r="I10" s="3" t="s">
        <v>66</v>
      </c>
      <c r="J10" s="3" t="s">
        <v>62</v>
      </c>
    </row>
    <row r="11">
      <c r="A11" s="3" t="s">
        <v>13</v>
      </c>
      <c r="B11" s="3" t="s">
        <v>14</v>
      </c>
      <c r="C11" s="11">
        <v>3000.0</v>
      </c>
    </row>
    <row r="12">
      <c r="A12" s="3" t="s">
        <v>15</v>
      </c>
      <c r="B12" s="3" t="s">
        <v>16</v>
      </c>
      <c r="C12" s="11">
        <v>0.0</v>
      </c>
      <c r="D12" s="9"/>
      <c r="E12" s="10" t="s">
        <v>38</v>
      </c>
      <c r="F12" s="7"/>
      <c r="G12" s="8"/>
    </row>
    <row r="13">
      <c r="A13" s="12"/>
      <c r="B13" s="13" t="s">
        <v>49</v>
      </c>
      <c r="C13" s="14">
        <f>SUM(C7:C12)</f>
        <v>130000</v>
      </c>
      <c r="E13" s="3" t="s">
        <v>36</v>
      </c>
      <c r="F13" s="3" t="s">
        <v>37</v>
      </c>
      <c r="G13" s="11">
        <v>182000.0</v>
      </c>
    </row>
    <row r="14">
      <c r="E14" s="3" t="s">
        <v>39</v>
      </c>
      <c r="F14" s="3" t="s">
        <v>40</v>
      </c>
      <c r="G14" s="11">
        <v>0.0</v>
      </c>
    </row>
    <row r="15">
      <c r="A15" s="10" t="s">
        <v>19</v>
      </c>
      <c r="B15" s="7"/>
      <c r="C15" s="8"/>
      <c r="D15" s="9"/>
      <c r="E15" s="12"/>
      <c r="F15" s="13" t="s">
        <v>50</v>
      </c>
      <c r="G15" s="14">
        <f>SUM(G13:G14)</f>
        <v>182000</v>
      </c>
    </row>
    <row r="16">
      <c r="A16" s="3" t="s">
        <v>17</v>
      </c>
      <c r="B16" s="3" t="s">
        <v>18</v>
      </c>
      <c r="C16" s="11">
        <v>10000.0</v>
      </c>
    </row>
    <row r="17">
      <c r="A17" s="3" t="s">
        <v>20</v>
      </c>
      <c r="B17" s="3" t="s">
        <v>21</v>
      </c>
      <c r="C17" s="11">
        <v>25000.0</v>
      </c>
      <c r="E17" s="9"/>
      <c r="F17" s="15" t="s">
        <v>51</v>
      </c>
      <c r="G17" s="16">
        <f>G10+G15</f>
        <v>182000</v>
      </c>
    </row>
    <row r="18">
      <c r="A18" s="12"/>
      <c r="B18" s="13" t="s">
        <v>52</v>
      </c>
      <c r="C18" s="14">
        <f>SUM(C16:C17)</f>
        <v>35000</v>
      </c>
    </row>
    <row r="19">
      <c r="E19" s="12"/>
      <c r="F19" s="13" t="s">
        <v>53</v>
      </c>
      <c r="G19" s="14">
        <f>C26-G17</f>
        <v>0</v>
      </c>
    </row>
    <row r="20">
      <c r="A20" s="10" t="s">
        <v>24</v>
      </c>
      <c r="B20" s="7"/>
      <c r="C20" s="8"/>
      <c r="D20" s="9"/>
      <c r="E20" s="9"/>
      <c r="F20" s="17" t="s">
        <v>54</v>
      </c>
      <c r="G20" s="18" t="str">
        <f>IF(G19=0,"OK","REVISAR")</f>
        <v>OK</v>
      </c>
    </row>
    <row r="21" ht="15.75" customHeight="1">
      <c r="A21" s="3" t="s">
        <v>22</v>
      </c>
      <c r="B21" s="3" t="s">
        <v>23</v>
      </c>
      <c r="C21" s="11">
        <v>5000.0</v>
      </c>
    </row>
    <row r="22" ht="15.75" customHeight="1">
      <c r="A22" s="3" t="s">
        <v>25</v>
      </c>
      <c r="B22" s="3" t="s">
        <v>26</v>
      </c>
      <c r="C22" s="11">
        <v>2000.0</v>
      </c>
    </row>
    <row r="23" ht="15.75" customHeight="1">
      <c r="A23" s="3" t="s">
        <v>27</v>
      </c>
      <c r="B23" s="3" t="s">
        <v>28</v>
      </c>
      <c r="C23" s="11">
        <v>10000.0</v>
      </c>
    </row>
    <row r="24" ht="15.75" customHeight="1">
      <c r="A24" s="12"/>
      <c r="B24" s="13" t="s">
        <v>55</v>
      </c>
      <c r="C24" s="14">
        <f>SUM(C21:C23)</f>
        <v>17000</v>
      </c>
    </row>
    <row r="25" ht="15.75" customHeight="1"/>
    <row r="26" ht="15.75" customHeight="1">
      <c r="A26" s="9"/>
      <c r="B26" s="15" t="s">
        <v>56</v>
      </c>
      <c r="C26" s="16">
        <f>SUM(C13,C18,C24)</f>
        <v>182000</v>
      </c>
    </row>
    <row r="27" ht="15.75" customHeight="1"/>
    <row r="28" ht="15.75" customHeight="1">
      <c r="A28" s="19" t="s">
        <v>57</v>
      </c>
      <c r="B28" s="7"/>
      <c r="C28" s="8"/>
      <c r="D28" s="9"/>
      <c r="E28" s="19" t="s">
        <v>58</v>
      </c>
      <c r="F28" s="7"/>
      <c r="G28" s="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6:G6"/>
    <mergeCell ref="H6:J6"/>
    <mergeCell ref="E12:G12"/>
    <mergeCell ref="A15:C15"/>
    <mergeCell ref="A20:C20"/>
    <mergeCell ref="A28:C28"/>
    <mergeCell ref="E28:G28"/>
    <mergeCell ref="A1:G1"/>
    <mergeCell ref="A2:G2"/>
    <mergeCell ref="A3:G3"/>
    <mergeCell ref="A5:C5"/>
    <mergeCell ref="E5:G5"/>
    <mergeCell ref="H5:J5"/>
    <mergeCell ref="A6:C6"/>
  </mergeCells>
  <conditionalFormatting sqref="G19">
    <cfRule type="cellIs" dxfId="0" priority="1" operator="not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8.0"/>
    <col customWidth="1" min="3" max="3" width="16.0"/>
    <col customWidth="1" min="4" max="4" width="2.0"/>
    <col customWidth="1" min="5" max="5" width="12.0"/>
    <col customWidth="1" min="6" max="6" width="28.0"/>
    <col customWidth="1" min="7" max="7" width="16.0"/>
    <col customWidth="1" min="8" max="10" width="14.0"/>
  </cols>
  <sheetData>
    <row r="1">
      <c r="A1" s="1" t="s">
        <v>41</v>
      </c>
    </row>
    <row r="2">
      <c r="A2" s="4" t="s">
        <v>42</v>
      </c>
    </row>
    <row r="3">
      <c r="A3" s="5" t="s">
        <v>67</v>
      </c>
    </row>
    <row r="5">
      <c r="A5" s="6" t="s">
        <v>44</v>
      </c>
      <c r="B5" s="7"/>
      <c r="C5" s="8"/>
      <c r="D5" s="9"/>
      <c r="E5" s="6" t="s">
        <v>45</v>
      </c>
      <c r="F5" s="7"/>
      <c r="G5" s="8"/>
      <c r="H5" s="6" t="s">
        <v>46</v>
      </c>
      <c r="I5" s="7"/>
      <c r="J5" s="8"/>
    </row>
    <row r="6">
      <c r="A6" s="10" t="s">
        <v>6</v>
      </c>
      <c r="B6" s="7"/>
      <c r="C6" s="8"/>
      <c r="D6" s="9"/>
      <c r="E6" s="10" t="s">
        <v>31</v>
      </c>
      <c r="F6" s="7"/>
      <c r="G6" s="8"/>
      <c r="H6" s="10" t="s">
        <v>68</v>
      </c>
      <c r="I6" s="7"/>
      <c r="J6" s="8"/>
    </row>
    <row r="7">
      <c r="A7" s="3" t="s">
        <v>4</v>
      </c>
      <c r="B7" s="3" t="s">
        <v>5</v>
      </c>
      <c r="C7" s="11">
        <v>5000.0</v>
      </c>
      <c r="E7" s="3" t="s">
        <v>29</v>
      </c>
      <c r="F7" s="3" t="s">
        <v>30</v>
      </c>
      <c r="G7" s="11">
        <v>4640.0</v>
      </c>
      <c r="H7" s="3" t="s">
        <v>61</v>
      </c>
      <c r="I7" s="11">
        <v>5000.0</v>
      </c>
      <c r="J7" s="3" t="s">
        <v>62</v>
      </c>
    </row>
    <row r="8">
      <c r="A8" s="3" t="s">
        <v>7</v>
      </c>
      <c r="B8" s="3" t="s">
        <v>8</v>
      </c>
      <c r="C8" s="11">
        <v>20840.0</v>
      </c>
      <c r="E8" s="3" t="s">
        <v>32</v>
      </c>
      <c r="F8" s="3" t="s">
        <v>33</v>
      </c>
      <c r="G8" s="11">
        <v>0.0</v>
      </c>
      <c r="H8" s="3" t="s">
        <v>63</v>
      </c>
      <c r="I8" s="11">
        <v>800.0</v>
      </c>
      <c r="J8" s="3" t="s">
        <v>62</v>
      </c>
    </row>
    <row r="9">
      <c r="A9" s="3" t="s">
        <v>9</v>
      </c>
      <c r="B9" s="3" t="s">
        <v>10</v>
      </c>
      <c r="C9" s="11">
        <v>105000.0</v>
      </c>
      <c r="E9" s="3" t="s">
        <v>34</v>
      </c>
      <c r="F9" s="3" t="s">
        <v>35</v>
      </c>
      <c r="G9" s="11">
        <v>0.0</v>
      </c>
      <c r="H9" s="3" t="s">
        <v>64</v>
      </c>
      <c r="I9" s="11">
        <v>5800.0</v>
      </c>
      <c r="J9" s="3" t="s">
        <v>62</v>
      </c>
    </row>
    <row r="10">
      <c r="A10" s="3" t="s">
        <v>11</v>
      </c>
      <c r="B10" s="3" t="s">
        <v>12</v>
      </c>
      <c r="C10" s="11">
        <v>0.0</v>
      </c>
      <c r="E10" s="12"/>
      <c r="F10" s="13" t="s">
        <v>48</v>
      </c>
      <c r="G10" s="14">
        <f>SUM(G7:G9)</f>
        <v>4640</v>
      </c>
      <c r="H10" s="3" t="s">
        <v>69</v>
      </c>
      <c r="I10" s="11">
        <v>1160.0</v>
      </c>
      <c r="J10" s="3" t="s">
        <v>62</v>
      </c>
    </row>
    <row r="11">
      <c r="A11" s="3" t="s">
        <v>13</v>
      </c>
      <c r="B11" s="3" t="s">
        <v>14</v>
      </c>
      <c r="C11" s="11">
        <v>3160.0</v>
      </c>
      <c r="H11" s="3" t="s">
        <v>70</v>
      </c>
      <c r="I11" s="11">
        <v>4640.0</v>
      </c>
      <c r="J11" s="3" t="s">
        <v>62</v>
      </c>
    </row>
    <row r="12">
      <c r="A12" s="3" t="s">
        <v>15</v>
      </c>
      <c r="B12" s="3" t="s">
        <v>16</v>
      </c>
      <c r="C12" s="11">
        <v>640.0</v>
      </c>
      <c r="D12" s="9"/>
      <c r="E12" s="10" t="s">
        <v>38</v>
      </c>
      <c r="F12" s="7"/>
      <c r="G12" s="8"/>
    </row>
    <row r="13">
      <c r="A13" s="12"/>
      <c r="B13" s="13" t="s">
        <v>49</v>
      </c>
      <c r="C13" s="14">
        <f>SUM(C7:C12)</f>
        <v>134640</v>
      </c>
      <c r="E13" s="3" t="s">
        <v>36</v>
      </c>
      <c r="F13" s="3" t="s">
        <v>37</v>
      </c>
      <c r="G13" s="11">
        <v>182000.0</v>
      </c>
    </row>
    <row r="14">
      <c r="E14" s="3" t="s">
        <v>39</v>
      </c>
      <c r="F14" s="3" t="s">
        <v>40</v>
      </c>
      <c r="G14" s="11">
        <v>0.0</v>
      </c>
    </row>
    <row r="15">
      <c r="A15" s="10" t="s">
        <v>19</v>
      </c>
      <c r="B15" s="7"/>
      <c r="C15" s="8"/>
      <c r="D15" s="9"/>
      <c r="E15" s="12"/>
      <c r="F15" s="13" t="s">
        <v>50</v>
      </c>
      <c r="G15" s="14">
        <f>SUM(G13:G14)</f>
        <v>182000</v>
      </c>
    </row>
    <row r="16">
      <c r="A16" s="3" t="s">
        <v>17</v>
      </c>
      <c r="B16" s="3" t="s">
        <v>18</v>
      </c>
      <c r="C16" s="11">
        <v>10000.0</v>
      </c>
    </row>
    <row r="17">
      <c r="A17" s="3" t="s">
        <v>20</v>
      </c>
      <c r="B17" s="3" t="s">
        <v>21</v>
      </c>
      <c r="C17" s="11">
        <v>25000.0</v>
      </c>
      <c r="E17" s="9"/>
      <c r="F17" s="15" t="s">
        <v>51</v>
      </c>
      <c r="G17" s="16">
        <f>G10+G15</f>
        <v>186640</v>
      </c>
    </row>
    <row r="18">
      <c r="A18" s="12"/>
      <c r="B18" s="13" t="s">
        <v>52</v>
      </c>
      <c r="C18" s="14">
        <f>SUM(C16:C17)</f>
        <v>35000</v>
      </c>
    </row>
    <row r="19">
      <c r="E19" s="12"/>
      <c r="F19" s="13" t="s">
        <v>53</v>
      </c>
      <c r="G19" s="14">
        <f>C26-G17</f>
        <v>0</v>
      </c>
    </row>
    <row r="20">
      <c r="A20" s="10" t="s">
        <v>24</v>
      </c>
      <c r="B20" s="7"/>
      <c r="C20" s="8"/>
      <c r="D20" s="9"/>
      <c r="E20" s="9"/>
      <c r="F20" s="17" t="s">
        <v>54</v>
      </c>
      <c r="G20" s="18" t="str">
        <f>IF(G19=0,"OK","REVISAR")</f>
        <v>OK</v>
      </c>
    </row>
    <row r="21" ht="15.75" customHeight="1">
      <c r="A21" s="3" t="s">
        <v>22</v>
      </c>
      <c r="B21" s="3" t="s">
        <v>23</v>
      </c>
      <c r="C21" s="11">
        <v>5000.0</v>
      </c>
    </row>
    <row r="22" ht="15.75" customHeight="1">
      <c r="A22" s="3" t="s">
        <v>25</v>
      </c>
      <c r="B22" s="3" t="s">
        <v>26</v>
      </c>
      <c r="C22" s="11">
        <v>2000.0</v>
      </c>
    </row>
    <row r="23" ht="15.75" customHeight="1">
      <c r="A23" s="3" t="s">
        <v>27</v>
      </c>
      <c r="B23" s="3" t="s">
        <v>28</v>
      </c>
      <c r="C23" s="11">
        <v>10000.0</v>
      </c>
    </row>
    <row r="24" ht="15.75" customHeight="1">
      <c r="A24" s="12"/>
      <c r="B24" s="13" t="s">
        <v>55</v>
      </c>
      <c r="C24" s="14">
        <f>SUM(C21:C23)</f>
        <v>17000</v>
      </c>
    </row>
    <row r="25" ht="15.75" customHeight="1"/>
    <row r="26" ht="15.75" customHeight="1">
      <c r="A26" s="9"/>
      <c r="B26" s="15" t="s">
        <v>56</v>
      </c>
      <c r="C26" s="16">
        <f>SUM(C13,C18,C24)</f>
        <v>186640</v>
      </c>
    </row>
    <row r="27" ht="15.75" customHeight="1"/>
    <row r="28" ht="15.75" customHeight="1">
      <c r="A28" s="19" t="s">
        <v>57</v>
      </c>
      <c r="B28" s="7"/>
      <c r="C28" s="8"/>
      <c r="D28" s="9"/>
      <c r="E28" s="19" t="s">
        <v>58</v>
      </c>
      <c r="F28" s="7"/>
      <c r="G28" s="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6:G6"/>
    <mergeCell ref="H6:J6"/>
    <mergeCell ref="E12:G12"/>
    <mergeCell ref="A15:C15"/>
    <mergeCell ref="A20:C20"/>
    <mergeCell ref="A28:C28"/>
    <mergeCell ref="E28:G28"/>
    <mergeCell ref="A1:G1"/>
    <mergeCell ref="A2:G2"/>
    <mergeCell ref="A3:G3"/>
    <mergeCell ref="A5:C5"/>
    <mergeCell ref="E5:G5"/>
    <mergeCell ref="H5:J5"/>
    <mergeCell ref="A6:C6"/>
  </mergeCells>
  <conditionalFormatting sqref="G19">
    <cfRule type="cellIs" dxfId="0" priority="1" operator="not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8.0"/>
    <col customWidth="1" min="3" max="3" width="16.0"/>
    <col customWidth="1" min="4" max="4" width="2.0"/>
    <col customWidth="1" min="5" max="5" width="12.0"/>
    <col customWidth="1" min="6" max="6" width="28.0"/>
    <col customWidth="1" min="7" max="7" width="16.0"/>
    <col customWidth="1" min="8" max="10" width="14.0"/>
  </cols>
  <sheetData>
    <row r="1">
      <c r="A1" s="1"/>
    </row>
    <row r="2">
      <c r="A2" s="4" t="s">
        <v>42</v>
      </c>
    </row>
    <row r="3">
      <c r="A3" s="5" t="s">
        <v>71</v>
      </c>
    </row>
    <row r="5">
      <c r="A5" s="6" t="s">
        <v>44</v>
      </c>
      <c r="B5" s="7"/>
      <c r="C5" s="8"/>
      <c r="D5" s="9"/>
      <c r="E5" s="6" t="s">
        <v>45</v>
      </c>
      <c r="F5" s="7"/>
      <c r="G5" s="8"/>
      <c r="H5" s="6" t="s">
        <v>46</v>
      </c>
      <c r="I5" s="7"/>
      <c r="J5" s="8"/>
    </row>
    <row r="6">
      <c r="A6" s="10" t="s">
        <v>6</v>
      </c>
      <c r="B6" s="7"/>
      <c r="C6" s="8"/>
      <c r="D6" s="9"/>
      <c r="E6" s="10" t="s">
        <v>31</v>
      </c>
      <c r="F6" s="7"/>
      <c r="G6" s="8"/>
      <c r="H6" s="10" t="s">
        <v>72</v>
      </c>
      <c r="I6" s="7"/>
      <c r="J6" s="8"/>
    </row>
    <row r="7">
      <c r="A7" s="3" t="s">
        <v>4</v>
      </c>
      <c r="B7" s="3" t="s">
        <v>5</v>
      </c>
      <c r="C7" s="11">
        <v>5000.0</v>
      </c>
      <c r="E7" s="3" t="s">
        <v>29</v>
      </c>
      <c r="F7" s="3" t="s">
        <v>30</v>
      </c>
      <c r="G7" s="11">
        <v>16240.0</v>
      </c>
      <c r="H7" s="3" t="s">
        <v>61</v>
      </c>
      <c r="I7" s="11">
        <v>10000.0</v>
      </c>
      <c r="J7" s="3" t="s">
        <v>62</v>
      </c>
    </row>
    <row r="8">
      <c r="A8" s="3" t="s">
        <v>7</v>
      </c>
      <c r="B8" s="3" t="s">
        <v>8</v>
      </c>
      <c r="C8" s="11">
        <v>20840.0</v>
      </c>
      <c r="E8" s="3" t="s">
        <v>32</v>
      </c>
      <c r="F8" s="3" t="s">
        <v>33</v>
      </c>
      <c r="G8" s="11">
        <v>0.0</v>
      </c>
      <c r="H8" s="3" t="s">
        <v>63</v>
      </c>
      <c r="I8" s="11">
        <v>1600.0</v>
      </c>
      <c r="J8" s="3" t="s">
        <v>62</v>
      </c>
    </row>
    <row r="9">
      <c r="A9" s="3" t="s">
        <v>9</v>
      </c>
      <c r="B9" s="3" t="s">
        <v>10</v>
      </c>
      <c r="C9" s="11">
        <v>115000.0</v>
      </c>
      <c r="E9" s="3" t="s">
        <v>34</v>
      </c>
      <c r="F9" s="3" t="s">
        <v>35</v>
      </c>
      <c r="G9" s="11">
        <v>0.0</v>
      </c>
      <c r="H9" s="3" t="s">
        <v>64</v>
      </c>
      <c r="I9" s="11">
        <v>11600.0</v>
      </c>
      <c r="J9" s="3" t="s">
        <v>62</v>
      </c>
    </row>
    <row r="10">
      <c r="A10" s="3" t="s">
        <v>11</v>
      </c>
      <c r="B10" s="3" t="s">
        <v>12</v>
      </c>
      <c r="C10" s="11">
        <v>0.0</v>
      </c>
      <c r="E10" s="12"/>
      <c r="F10" s="13" t="s">
        <v>48</v>
      </c>
      <c r="G10" s="14">
        <f>SUM(G7:G9)</f>
        <v>16240</v>
      </c>
      <c r="H10" s="3" t="s">
        <v>73</v>
      </c>
      <c r="I10" s="3" t="s">
        <v>74</v>
      </c>
      <c r="J10" s="3" t="s">
        <v>62</v>
      </c>
    </row>
    <row r="11">
      <c r="A11" s="3" t="s">
        <v>13</v>
      </c>
      <c r="B11" s="3" t="s">
        <v>14</v>
      </c>
      <c r="C11" s="11">
        <v>3160.0</v>
      </c>
    </row>
    <row r="12">
      <c r="A12" s="3" t="s">
        <v>15</v>
      </c>
      <c r="B12" s="3" t="s">
        <v>16</v>
      </c>
      <c r="C12" s="11">
        <v>2240.0</v>
      </c>
      <c r="D12" s="9"/>
      <c r="E12" s="10" t="s">
        <v>38</v>
      </c>
      <c r="F12" s="7"/>
      <c r="G12" s="8"/>
    </row>
    <row r="13">
      <c r="A13" s="12"/>
      <c r="B13" s="13" t="s">
        <v>49</v>
      </c>
      <c r="C13" s="14">
        <f>SUM(C7:C12)</f>
        <v>146240</v>
      </c>
      <c r="E13" s="3" t="s">
        <v>36</v>
      </c>
      <c r="F13" s="3" t="s">
        <v>37</v>
      </c>
      <c r="G13" s="11">
        <v>182000.0</v>
      </c>
    </row>
    <row r="14">
      <c r="E14" s="3" t="s">
        <v>39</v>
      </c>
      <c r="F14" s="3" t="s">
        <v>40</v>
      </c>
      <c r="G14" s="11">
        <v>0.0</v>
      </c>
    </row>
    <row r="15">
      <c r="A15" s="10" t="s">
        <v>19</v>
      </c>
      <c r="B15" s="7"/>
      <c r="C15" s="8"/>
      <c r="D15" s="9"/>
      <c r="E15" s="12"/>
      <c r="F15" s="13" t="s">
        <v>50</v>
      </c>
      <c r="G15" s="14">
        <f>SUM(G13:G14)</f>
        <v>182000</v>
      </c>
    </row>
    <row r="16">
      <c r="A16" s="3" t="s">
        <v>17</v>
      </c>
      <c r="B16" s="3" t="s">
        <v>18</v>
      </c>
      <c r="C16" s="11">
        <v>10000.0</v>
      </c>
    </row>
    <row r="17">
      <c r="A17" s="3" t="s">
        <v>20</v>
      </c>
      <c r="B17" s="3" t="s">
        <v>21</v>
      </c>
      <c r="C17" s="11">
        <v>25000.0</v>
      </c>
      <c r="E17" s="9"/>
      <c r="F17" s="15" t="s">
        <v>51</v>
      </c>
      <c r="G17" s="16">
        <f>G10+G15</f>
        <v>198240</v>
      </c>
    </row>
    <row r="18">
      <c r="A18" s="12"/>
      <c r="B18" s="13" t="s">
        <v>52</v>
      </c>
      <c r="C18" s="14">
        <f>SUM(C16:C17)</f>
        <v>35000</v>
      </c>
    </row>
    <row r="19">
      <c r="E19" s="12"/>
      <c r="F19" s="13" t="s">
        <v>53</v>
      </c>
      <c r="G19" s="14">
        <f>C26-G17</f>
        <v>0</v>
      </c>
    </row>
    <row r="20">
      <c r="A20" s="10" t="s">
        <v>24</v>
      </c>
      <c r="B20" s="7"/>
      <c r="C20" s="8"/>
      <c r="D20" s="9"/>
      <c r="E20" s="9"/>
      <c r="F20" s="17" t="s">
        <v>54</v>
      </c>
      <c r="G20" s="18" t="str">
        <f>IF(G19=0,"OK","REVISAR")</f>
        <v>OK</v>
      </c>
    </row>
    <row r="21" ht="15.75" customHeight="1">
      <c r="A21" s="3" t="s">
        <v>22</v>
      </c>
      <c r="B21" s="3" t="s">
        <v>23</v>
      </c>
      <c r="C21" s="11">
        <v>5000.0</v>
      </c>
    </row>
    <row r="22" ht="15.75" customHeight="1">
      <c r="A22" s="3" t="s">
        <v>25</v>
      </c>
      <c r="B22" s="3" t="s">
        <v>26</v>
      </c>
      <c r="C22" s="11">
        <v>2000.0</v>
      </c>
    </row>
    <row r="23" ht="15.75" customHeight="1">
      <c r="A23" s="3" t="s">
        <v>27</v>
      </c>
      <c r="B23" s="3" t="s">
        <v>28</v>
      </c>
      <c r="C23" s="11">
        <v>10000.0</v>
      </c>
    </row>
    <row r="24" ht="15.75" customHeight="1">
      <c r="A24" s="12"/>
      <c r="B24" s="13" t="s">
        <v>55</v>
      </c>
      <c r="C24" s="14">
        <f>SUM(C21:C23)</f>
        <v>17000</v>
      </c>
    </row>
    <row r="25" ht="15.75" customHeight="1"/>
    <row r="26" ht="15.75" customHeight="1">
      <c r="A26" s="9"/>
      <c r="B26" s="15" t="s">
        <v>56</v>
      </c>
      <c r="C26" s="16">
        <f>SUM(C13,C18,C24)</f>
        <v>198240</v>
      </c>
    </row>
    <row r="27" ht="15.75" customHeight="1"/>
    <row r="28" ht="15.75" customHeight="1">
      <c r="A28" s="19" t="s">
        <v>57</v>
      </c>
      <c r="B28" s="7"/>
      <c r="C28" s="8"/>
      <c r="D28" s="9"/>
      <c r="E28" s="19" t="s">
        <v>58</v>
      </c>
      <c r="F28" s="7"/>
      <c r="G28" s="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6:G6"/>
    <mergeCell ref="H6:J6"/>
    <mergeCell ref="E12:G12"/>
    <mergeCell ref="A15:C15"/>
    <mergeCell ref="A20:C20"/>
    <mergeCell ref="A28:C28"/>
    <mergeCell ref="E28:G28"/>
    <mergeCell ref="A1:G1"/>
    <mergeCell ref="A2:G2"/>
    <mergeCell ref="A3:G3"/>
    <mergeCell ref="A5:C5"/>
    <mergeCell ref="E5:G5"/>
    <mergeCell ref="H5:J5"/>
    <mergeCell ref="A6:C6"/>
  </mergeCells>
  <conditionalFormatting sqref="G19">
    <cfRule type="cellIs" dxfId="0" priority="1" operator="not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8.0"/>
    <col customWidth="1" min="3" max="3" width="16.0"/>
    <col customWidth="1" min="4" max="4" width="2.0"/>
    <col customWidth="1" min="5" max="5" width="12.0"/>
    <col customWidth="1" min="6" max="6" width="28.0"/>
    <col customWidth="1" min="7" max="7" width="16.0"/>
    <col customWidth="1" min="8" max="8" width="20.14"/>
    <col customWidth="1" min="9" max="10" width="14.0"/>
  </cols>
  <sheetData>
    <row r="1">
      <c r="A1" s="1" t="s">
        <v>41</v>
      </c>
    </row>
    <row r="2">
      <c r="A2" s="4" t="s">
        <v>42</v>
      </c>
    </row>
    <row r="3">
      <c r="A3" s="5" t="s">
        <v>75</v>
      </c>
    </row>
    <row r="5">
      <c r="A5" s="6" t="s">
        <v>44</v>
      </c>
      <c r="B5" s="7"/>
      <c r="C5" s="8"/>
      <c r="D5" s="9"/>
      <c r="E5" s="6" t="s">
        <v>45</v>
      </c>
      <c r="F5" s="7"/>
      <c r="G5" s="8"/>
      <c r="H5" s="6" t="s">
        <v>46</v>
      </c>
      <c r="I5" s="7"/>
      <c r="J5" s="8"/>
    </row>
    <row r="6">
      <c r="A6" s="10" t="s">
        <v>6</v>
      </c>
      <c r="B6" s="7"/>
      <c r="C6" s="8"/>
      <c r="D6" s="9"/>
      <c r="E6" s="10" t="s">
        <v>31</v>
      </c>
      <c r="F6" s="7"/>
      <c r="G6" s="8"/>
      <c r="H6" s="10" t="s">
        <v>76</v>
      </c>
      <c r="I6" s="7"/>
      <c r="J6" s="8"/>
    </row>
    <row r="7">
      <c r="A7" s="3" t="s">
        <v>4</v>
      </c>
      <c r="B7" s="3" t="s">
        <v>5</v>
      </c>
      <c r="C7" s="11">
        <v>5000.0</v>
      </c>
      <c r="E7" s="3" t="s">
        <v>29</v>
      </c>
      <c r="F7" s="3" t="s">
        <v>30</v>
      </c>
      <c r="G7" s="11">
        <v>16240.0</v>
      </c>
      <c r="H7" s="3" t="s">
        <v>77</v>
      </c>
      <c r="I7" s="11">
        <v>10000.0</v>
      </c>
      <c r="J7" s="3" t="s">
        <v>62</v>
      </c>
    </row>
    <row r="8">
      <c r="A8" s="3" t="s">
        <v>7</v>
      </c>
      <c r="B8" s="3" t="s">
        <v>8</v>
      </c>
      <c r="C8" s="11">
        <v>23160.0</v>
      </c>
      <c r="E8" s="3" t="s">
        <v>32</v>
      </c>
      <c r="F8" s="3" t="s">
        <v>33</v>
      </c>
      <c r="G8" s="11">
        <v>320.0</v>
      </c>
      <c r="H8" s="3" t="s">
        <v>63</v>
      </c>
      <c r="I8" s="11">
        <v>1600.0</v>
      </c>
      <c r="J8" s="3" t="s">
        <v>62</v>
      </c>
    </row>
    <row r="9">
      <c r="A9" s="3" t="s">
        <v>9</v>
      </c>
      <c r="B9" s="3" t="s">
        <v>10</v>
      </c>
      <c r="C9" s="11">
        <v>109000.0</v>
      </c>
      <c r="E9" s="3" t="s">
        <v>34</v>
      </c>
      <c r="F9" s="3" t="s">
        <v>35</v>
      </c>
      <c r="G9" s="11">
        <v>1280.0</v>
      </c>
      <c r="H9" s="3" t="s">
        <v>78</v>
      </c>
      <c r="I9" s="11">
        <v>11600.0</v>
      </c>
      <c r="J9" s="3" t="s">
        <v>62</v>
      </c>
    </row>
    <row r="10">
      <c r="A10" s="3" t="s">
        <v>11</v>
      </c>
      <c r="B10" s="3" t="s">
        <v>12</v>
      </c>
      <c r="C10" s="11">
        <v>9280.0</v>
      </c>
      <c r="E10" s="12"/>
      <c r="F10" s="13" t="s">
        <v>48</v>
      </c>
      <c r="G10" s="14">
        <f>SUM(G7:G9)</f>
        <v>17840</v>
      </c>
      <c r="H10" s="3" t="s">
        <v>79</v>
      </c>
      <c r="I10" s="11">
        <v>2320.0</v>
      </c>
      <c r="J10" s="3" t="s">
        <v>62</v>
      </c>
    </row>
    <row r="11">
      <c r="A11" s="3" t="s">
        <v>13</v>
      </c>
      <c r="B11" s="3" t="s">
        <v>14</v>
      </c>
      <c r="C11" s="11">
        <v>3160.0</v>
      </c>
      <c r="H11" s="3" t="s">
        <v>80</v>
      </c>
      <c r="I11" s="11">
        <v>9280.0</v>
      </c>
      <c r="J11" s="3" t="s">
        <v>62</v>
      </c>
    </row>
    <row r="12">
      <c r="A12" s="3" t="s">
        <v>15</v>
      </c>
      <c r="B12" s="3" t="s">
        <v>16</v>
      </c>
      <c r="C12" s="11">
        <v>2240.0</v>
      </c>
      <c r="D12" s="9"/>
      <c r="E12" s="10" t="s">
        <v>38</v>
      </c>
      <c r="F12" s="7"/>
      <c r="G12" s="8"/>
      <c r="H12" s="3" t="s">
        <v>81</v>
      </c>
      <c r="I12" s="11">
        <v>6000.0</v>
      </c>
      <c r="J12" s="3" t="s">
        <v>62</v>
      </c>
    </row>
    <row r="13">
      <c r="A13" s="12"/>
      <c r="B13" s="13" t="s">
        <v>49</v>
      </c>
      <c r="C13" s="14">
        <f>SUM(C7:C12)</f>
        <v>151840</v>
      </c>
      <c r="E13" s="3" t="s">
        <v>36</v>
      </c>
      <c r="F13" s="3" t="s">
        <v>37</v>
      </c>
      <c r="G13" s="11">
        <v>182000.0</v>
      </c>
      <c r="H13" s="3" t="s">
        <v>82</v>
      </c>
      <c r="I13" s="11">
        <v>4000.0</v>
      </c>
      <c r="J13" s="3" t="s">
        <v>62</v>
      </c>
    </row>
    <row r="14">
      <c r="E14" s="3" t="s">
        <v>39</v>
      </c>
      <c r="F14" s="3" t="s">
        <v>40</v>
      </c>
      <c r="G14" s="11">
        <v>4000.0</v>
      </c>
      <c r="H14" s="3" t="s">
        <v>83</v>
      </c>
      <c r="I14" s="11">
        <v>320.0</v>
      </c>
      <c r="J14" s="3" t="s">
        <v>62</v>
      </c>
    </row>
    <row r="15">
      <c r="A15" s="10" t="s">
        <v>19</v>
      </c>
      <c r="B15" s="7"/>
      <c r="C15" s="8"/>
      <c r="D15" s="9"/>
      <c r="E15" s="12"/>
      <c r="F15" s="13" t="s">
        <v>50</v>
      </c>
      <c r="G15" s="14">
        <f>SUM(G13:G14)</f>
        <v>186000</v>
      </c>
      <c r="H15" s="3" t="s">
        <v>84</v>
      </c>
      <c r="I15" s="11">
        <v>1280.0</v>
      </c>
      <c r="J15" s="3" t="s">
        <v>62</v>
      </c>
    </row>
    <row r="16">
      <c r="A16" s="3" t="s">
        <v>17</v>
      </c>
      <c r="B16" s="3" t="s">
        <v>18</v>
      </c>
      <c r="C16" s="11">
        <v>10000.0</v>
      </c>
    </row>
    <row r="17">
      <c r="A17" s="3" t="s">
        <v>20</v>
      </c>
      <c r="B17" s="3" t="s">
        <v>21</v>
      </c>
      <c r="C17" s="11">
        <v>25000.0</v>
      </c>
      <c r="E17" s="9"/>
      <c r="F17" s="15" t="s">
        <v>51</v>
      </c>
      <c r="G17" s="16">
        <f>G10+G15</f>
        <v>203840</v>
      </c>
    </row>
    <row r="18">
      <c r="A18" s="12"/>
      <c r="B18" s="13" t="s">
        <v>52</v>
      </c>
      <c r="C18" s="14">
        <f>SUM(C16:C17)</f>
        <v>35000</v>
      </c>
    </row>
    <row r="19">
      <c r="E19" s="12"/>
      <c r="F19" s="13" t="s">
        <v>53</v>
      </c>
      <c r="G19" s="14">
        <f>C26-G17</f>
        <v>0</v>
      </c>
    </row>
    <row r="20">
      <c r="A20" s="10" t="s">
        <v>24</v>
      </c>
      <c r="B20" s="7"/>
      <c r="C20" s="8"/>
      <c r="D20" s="9"/>
      <c r="E20" s="9"/>
      <c r="F20" s="17" t="s">
        <v>54</v>
      </c>
      <c r="G20" s="18" t="str">
        <f>IF(G19=0,"OK","REVISAR")</f>
        <v>OK</v>
      </c>
    </row>
    <row r="21" ht="15.75" customHeight="1">
      <c r="A21" s="3" t="s">
        <v>22</v>
      </c>
      <c r="B21" s="3" t="s">
        <v>23</v>
      </c>
      <c r="C21" s="11">
        <v>5000.0</v>
      </c>
    </row>
    <row r="22" ht="15.75" customHeight="1">
      <c r="A22" s="3" t="s">
        <v>25</v>
      </c>
      <c r="B22" s="3" t="s">
        <v>26</v>
      </c>
      <c r="C22" s="11">
        <v>2000.0</v>
      </c>
    </row>
    <row r="23" ht="15.75" customHeight="1">
      <c r="A23" s="3" t="s">
        <v>27</v>
      </c>
      <c r="B23" s="3" t="s">
        <v>28</v>
      </c>
      <c r="C23" s="11">
        <v>10000.0</v>
      </c>
    </row>
    <row r="24" ht="15.75" customHeight="1">
      <c r="A24" s="12"/>
      <c r="B24" s="13" t="s">
        <v>55</v>
      </c>
      <c r="C24" s="14">
        <f>SUM(C21:C23)</f>
        <v>17000</v>
      </c>
    </row>
    <row r="25" ht="15.75" customHeight="1"/>
    <row r="26" ht="15.75" customHeight="1">
      <c r="A26" s="9"/>
      <c r="B26" s="15" t="s">
        <v>56</v>
      </c>
      <c r="C26" s="16">
        <f>SUM(C13,C18,C24)</f>
        <v>203840</v>
      </c>
    </row>
    <row r="27" ht="15.75" customHeight="1"/>
    <row r="28" ht="15.75" customHeight="1">
      <c r="A28" s="19" t="s">
        <v>57</v>
      </c>
      <c r="B28" s="7"/>
      <c r="C28" s="8"/>
      <c r="D28" s="9"/>
      <c r="E28" s="19" t="s">
        <v>58</v>
      </c>
      <c r="F28" s="7"/>
      <c r="G28" s="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6:G6"/>
    <mergeCell ref="H6:J6"/>
    <mergeCell ref="E12:G12"/>
    <mergeCell ref="A15:C15"/>
    <mergeCell ref="A20:C20"/>
    <mergeCell ref="A28:C28"/>
    <mergeCell ref="E28:G28"/>
    <mergeCell ref="A1:G1"/>
    <mergeCell ref="A2:G2"/>
    <mergeCell ref="A3:G3"/>
    <mergeCell ref="A5:C5"/>
    <mergeCell ref="E5:G5"/>
    <mergeCell ref="H5:J5"/>
    <mergeCell ref="A6:C6"/>
  </mergeCells>
  <conditionalFormatting sqref="G19">
    <cfRule type="cellIs" dxfId="0" priority="1" operator="notEqual">
      <formula>0</formula>
    </cfRule>
  </conditionalFormatting>
  <printOptions/>
  <pageMargins bottom="0.75" footer="0.0" header="0.0" left="0.7" right="0.7" top="0.75"/>
  <pageSetup orientation="landscape"/>
  <drawing r:id="rId1"/>
</worksheet>
</file>